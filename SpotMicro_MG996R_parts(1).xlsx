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27" documentId="11_8589A9EA535952EEF4FF41E8614A431E03CAF849" xr6:coauthVersionLast="47" xr6:coauthVersionMax="47" xr10:uidLastSave="{2A71BD91-908B-4002-A8EB-50A3F6126A56}"/>
  <bookViews>
    <workbookView xWindow="0" yWindow="0" windowWidth="0" windowHeight="0" xr2:uid="{00000000-000D-0000-FFFF-FFFF00000000}"/>
  </bookViews>
  <sheets>
    <sheet name="Parts" sheetId="1" r:id="rId1"/>
    <sheet name="Notes" sheetId="2" r:id="rId2"/>
  </sheets>
  <definedNames>
    <definedName name="_xlnm._FilterDatabase" localSheetId="0" hidden="1">Parts!$A$4:$M$32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2" i="1" l="1"/>
  <c r="K41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J38" i="1" s="1"/>
  <c r="I16" i="1"/>
  <c r="I38" i="1" s="1"/>
  <c r="J15" i="1"/>
  <c r="J37" i="1" s="1"/>
  <c r="I15" i="1"/>
  <c r="I37" i="1" s="1"/>
  <c r="J14" i="1"/>
  <c r="I14" i="1"/>
  <c r="J13" i="1"/>
  <c r="I13" i="1"/>
  <c r="J12" i="1"/>
  <c r="J36" i="1" s="1"/>
  <c r="I12" i="1"/>
  <c r="I36" i="1" s="1"/>
  <c r="J11" i="1"/>
  <c r="I11" i="1"/>
  <c r="J10" i="1"/>
  <c r="I10" i="1"/>
  <c r="J9" i="1"/>
  <c r="I9" i="1"/>
  <c r="J8" i="1"/>
  <c r="I8" i="1"/>
  <c r="J7" i="1"/>
  <c r="I7" i="1"/>
  <c r="J6" i="1"/>
  <c r="I6" i="1"/>
  <c r="J5" i="1"/>
  <c r="J35" i="1" s="1"/>
  <c r="J39" i="1" s="1"/>
  <c r="I5" i="1"/>
  <c r="I35" i="1" s="1"/>
  <c r="I3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G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Estimated per-unit price range (USD), typical AliExpress/Amazon, Sept 2026. Not a quote.</t>
        </r>
      </text>
    </comment>
  </commentList>
</comments>
</file>

<file path=xl/sharedStrings.xml><?xml version="1.0" encoding="utf-8"?>
<sst xmlns="http://schemas.openxmlformats.org/spreadsheetml/2006/main" count="226" uniqueCount="101">
  <si>
    <t>SpotMicro ESP32 parts list - MG996R build</t>
  </si>
  <si>
    <t>Prices are rough estimates (typical AliExpress/Amazon, USD), not quotes. Edit the yellow cells: Bought (pick the check mark), Qty, and Actual paid (total for the line, e.g. 13.50).</t>
  </si>
  <si>
    <t>Bought</t>
  </si>
  <si>
    <t>Category</t>
  </si>
  <si>
    <t>Part</t>
  </si>
  <si>
    <t>Priority</t>
  </si>
  <si>
    <t>Qty</t>
  </si>
  <si>
    <t>Unit</t>
  </si>
  <si>
    <t>Unit $ low</t>
  </si>
  <si>
    <t>Unit $ high</t>
  </si>
  <si>
    <t>Line $ low</t>
  </si>
  <si>
    <t>Line $ high</t>
  </si>
  <si>
    <t>Actual paid $</t>
  </si>
  <si>
    <t>On repo list</t>
  </si>
  <si>
    <t>Notes</t>
  </si>
  <si>
    <t>Core electronics</t>
  </si>
  <si>
    <t>ESP32-S3 N8R8 camera board (ESP32-S3-WROOM CAM)</t>
  </si>
  <si>
    <t>Required</t>
  </si>
  <si>
    <t>pcs</t>
  </si>
  <si>
    <t>Yes</t>
  </si>
  <si>
    <t>Matches firmware env esp32-wroom-camera (USS pins 1/14, WS2812 on GPIO48). Usually ships with an OV2640 camera.</t>
  </si>
  <si>
    <t>Y</t>
  </si>
  <si>
    <t>PCA9685 16-channel PWM servo driver</t>
  </si>
  <si>
    <t>Reinforce the power traces with solder.</t>
  </si>
  <si>
    <t>MG996R servo (metal gear)</t>
  </si>
  <si>
    <t>12 needed + 2 spares. ~11 kg*cm; rated 4.8-7.2 V.</t>
  </si>
  <si>
    <t>SZBK07 20A DC-DC buck converter</t>
  </si>
  <si>
    <t>Required with MG996R: 2S battery reaches 8.4 V. Set output to ~6.0-6.8 V.</t>
  </si>
  <si>
    <t>LM2596 or XL4015 buck converter</t>
  </si>
  <si>
    <t>Set to 5 V for the ESP32 and sensors.</t>
  </si>
  <si>
    <t>18650 Li-ion cell (high-drain, 10 A+)</t>
  </si>
  <si>
    <t>2S2P pack = 7.4 V nominal / 8.4 V full. A 2S LiPo is the alternative.</t>
  </si>
  <si>
    <t>N</t>
  </si>
  <si>
    <t>2S2P 18650 battery holder</t>
  </si>
  <si>
    <t>Not needed if you use a 2S LiPo.</t>
  </si>
  <si>
    <t>2S BMS protection board</t>
  </si>
  <si>
    <t>Recommended</t>
  </si>
  <si>
    <t>No</t>
  </si>
  <si>
    <t>Over-discharge/short protection for the 18650 pack.</t>
  </si>
  <si>
    <t>Main power switch (10 A+)</t>
  </si>
  <si>
    <t>Rated for the battery current.</t>
  </si>
  <si>
    <t>Servo extension cable</t>
  </si>
  <si>
    <t>Or make them from headers and wire.</t>
  </si>
  <si>
    <t>Optional electronics</t>
  </si>
  <si>
    <t>GY-87 sensor board (MPU6050 + HMC5883 + BMP180)</t>
  </si>
  <si>
    <t>Optional</t>
  </si>
  <si>
    <t>Recommended: IMU + magnetometer + barometer in one. Needed for body leveling.</t>
  </si>
  <si>
    <t>BNO055 9-DOF IMU</t>
  </si>
  <si>
    <t>Alternative</t>
  </si>
  <si>
    <t>Alternative to the GY-87. Qty 0 = not included; set to 1 to swap.</t>
  </si>
  <si>
    <t>OV5640 wide-angle camera (120-160 deg)</t>
  </si>
  <si>
    <t>Upgrade over the bundled OV2640.</t>
  </si>
  <si>
    <t>HC-SR04 ultrasonic sensor</t>
  </si>
  <si>
    <t>Obstacle/stair detection (firmware reads them; gait does not use them yet).</t>
  </si>
  <si>
    <t>0.96" SSD1306 OLED display</t>
  </si>
  <si>
    <t>Status display.</t>
  </si>
  <si>
    <t>PAJ7620U2 gesture sensor</t>
  </si>
  <si>
    <t>Hand-gesture control.</t>
  </si>
  <si>
    <t>Power button with LED</t>
  </si>
  <si>
    <t>Mode switch.</t>
  </si>
  <si>
    <t>WS2812 RGB LED</t>
  </si>
  <si>
    <t>Built into most ESP32-S3 boards; qty 0 unless yours lacks one.</t>
  </si>
  <si>
    <t>Mechanical</t>
  </si>
  <si>
    <t>M2x8 screw + M2 nut</t>
  </si>
  <si>
    <t>M3x8 screw + M3 nut</t>
  </si>
  <si>
    <t>M3x20 screw + M3 nut</t>
  </si>
  <si>
    <t>625ZZ ball bearing</t>
  </si>
  <si>
    <t>Metal 25T servo horn</t>
  </si>
  <si>
    <t>The plastic horns bundled with MG996R strip under load.</t>
  </si>
  <si>
    <t>PLA or PETG filament</t>
  </si>
  <si>
    <t>kg</t>
  </si>
  <si>
    <t>~1-1.5 kg for all printed parts.</t>
  </si>
  <si>
    <t>Wiring &amp; charging</t>
  </si>
  <si>
    <t>2S balance charger (LiPo) or 18650 charger</t>
  </si>
  <si>
    <t>Needed to charge the pack if you don't have one.</t>
  </si>
  <si>
    <t>14-16 AWG silicone wire + XT60 connectors</t>
  </si>
  <si>
    <t>set</t>
  </si>
  <si>
    <t>High-current path: battery -&gt; SZBK07 -&gt; PCA9685.</t>
  </si>
  <si>
    <t>Inline fuse + holder (~15 A)</t>
  </si>
  <si>
    <t>Short-circuit protection.</t>
  </si>
  <si>
    <t>Dupont jumper wires + heat-shrink</t>
  </si>
  <si>
    <t>Sensor and signal wiring.</t>
  </si>
  <si>
    <t>Totals</t>
  </si>
  <si>
    <t>Low</t>
  </si>
  <si>
    <t>High</t>
  </si>
  <si>
    <t>Recommended extras</t>
  </si>
  <si>
    <t>Optional parts</t>
  </si>
  <si>
    <t>Alternatives (only if qty &gt; 0)</t>
  </si>
  <si>
    <t>Grand total</t>
  </si>
  <si>
    <t>Actual spent so far</t>
  </si>
  <si>
    <t>Lines bought / lines to buy</t>
  </si>
  <si>
    <t>Sources</t>
  </si>
  <si>
    <t>Parts marked 'On repo list = Yes' come from readme.md (Hardware &amp; Electronics) and docs/1_components.md in the SpotMicroESP32-Leika repo. 'No' = added: needed or strongly recommended but not listed there.</t>
  </si>
  <si>
    <t>Prices</t>
  </si>
  <si>
    <t>Estimates only (typical AliExpress/Amazon, USD). The repo lists no prices. Replace with real prices in 'Actual paid $' as you buy.</t>
  </si>
  <si>
    <t>MG996R</t>
  </si>
  <si>
    <t>Rated 4.8-7.2 V, ~11 kg*cm (clones often less). A full 2S battery is 8.4 V, so the SZBK07 step-down is required. In simulation (~2.2 kg robot) they trot fine with a 20 mm foot lift but saturate with the 40 mm default and only clear ~5 mm steps; DS3218 (20 kg*cm) fits the same mounts as an upgrade.</t>
  </si>
  <si>
    <t>Current</t>
  </si>
  <si>
    <t>12 servos can draw 10 A+ together; use high-drain 18650s, 14-16 AWG wire on the power path, and a fuse.</t>
  </si>
  <si>
    <t>Firmware</t>
  </si>
  <si>
    <t>Enable optional sensors in esp32/features.ini (USE_MPU6050, USE_HMC5883, USE_BMP180, USE_USS, USE_PAJ7620U2).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</si>
</sst>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&quot;-&quot;"/>
  </numFmts>
  <fonts count="8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sz val="11"/>
      <name val="Arial"/>
    </font>
    <font>
      <sz val="11"/>
      <color rgb="FF0000FF"/>
      <name val="Arial"/>
    </font>
    <font>
      <b/>
      <sz val="12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/>
    </xf>
    <xf numFmtId="164" fontId="5" fillId="0" borderId="1" xfId="0" applyNumberFormat="1" applyFont="1" applyBorder="1" applyAlignment="1">
      <alignment vertical="top"/>
    </xf>
    <xf numFmtId="164" fontId="4" fillId="0" borderId="1" xfId="0" applyNumberFormat="1" applyFont="1" applyBorder="1" applyAlignment="1">
      <alignment vertical="top"/>
    </xf>
    <xf numFmtId="164" fontId="4" fillId="3" borderId="1" xfId="0" applyNumberFormat="1" applyFont="1" applyFill="1" applyBorder="1" applyAlignment="1">
      <alignment vertical="top"/>
    </xf>
    <xf numFmtId="0" fontId="6" fillId="0" borderId="0" xfId="0" applyFont="1"/>
    <xf numFmtId="0" fontId="7" fillId="0" borderId="0" xfId="0" applyFont="1"/>
    <xf numFmtId="0" fontId="4" fillId="0" borderId="0" xfId="0" applyFont="1"/>
    <xf numFmtId="164" fontId="4" fillId="0" borderId="0" xfId="0" applyNumberFormat="1" applyFont="1"/>
    <xf numFmtId="164" fontId="4" fillId="0" borderId="0" xfId="0" applyNumberFormat="1" applyFont="1" applyAlignment="1">
      <alignment horizontal="right"/>
    </xf>
    <xf numFmtId="164" fontId="7" fillId="0" borderId="2" xfId="0" applyNumberFormat="1" applyFont="1" applyBorder="1"/>
    <xf numFmtId="164" fontId="7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2" fillId="0" borderId="0" xfId="0" applyFont="1" applyAlignment="1"/>
    <xf numFmtId="0" fontId="0" fillId="0" borderId="0" xfId="0" applyAlignment="1"/>
  </cellXfs>
  <cellStyles count="1">
    <cellStyle name="Normal" xfId="0" builtinId="0"/>
  </cellStyles>
  <dxfs count="2">
    <dxf>
      <font>
        <i/>
        <color rgb="FFA6A6A6"/>
        <name val="Arial"/>
      </font>
    </dxf>
    <dxf>
      <font>
        <color rgb="FF808080"/>
        <name val="Arial"/>
      </font>
      <fill>
        <patternFill patternType="solid">
          <f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workbookViewId="0">
      <pane xSplit="3" ySplit="4" topLeftCell="D5" activePane="bottomRight" state="frozen"/>
      <selection pane="bottomRight" activeCell="O32" sqref="O32"/>
      <selection pane="bottomLeft"/>
      <selection pane="topRight"/>
    </sheetView>
  </sheetViews>
  <sheetFormatPr defaultRowHeight="15"/>
  <cols>
    <col min="1" max="1" width="8" customWidth="1"/>
    <col min="2" max="2" width="20" customWidth="1"/>
    <col min="3" max="3" width="44" customWidth="1"/>
    <col min="4" max="4" width="13" customWidth="1"/>
    <col min="5" max="5" width="7" customWidth="1"/>
    <col min="6" max="6" width="6" customWidth="1"/>
    <col min="7" max="10" width="11" customWidth="1"/>
    <col min="11" max="11" width="13" customWidth="1"/>
    <col min="12" max="12" width="11" customWidth="1"/>
    <col min="13" max="13" width="60" customWidth="1"/>
  </cols>
  <sheetData>
    <row r="1" spans="1:14">
      <c r="A1" s="1" t="s">
        <v>0</v>
      </c>
    </row>
    <row r="2" spans="1:14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4" spans="1:14" ht="30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</row>
    <row r="5" spans="1:14" ht="28.5">
      <c r="A5" s="3"/>
      <c r="B5" s="4" t="s">
        <v>15</v>
      </c>
      <c r="C5" s="5" t="s">
        <v>16</v>
      </c>
      <c r="D5" s="4" t="s">
        <v>17</v>
      </c>
      <c r="E5" s="6">
        <v>1</v>
      </c>
      <c r="F5" s="4" t="s">
        <v>18</v>
      </c>
      <c r="G5" s="7">
        <v>10</v>
      </c>
      <c r="H5" s="7">
        <v>20</v>
      </c>
      <c r="I5" s="8">
        <f>E5*G5</f>
        <v>10</v>
      </c>
      <c r="J5" s="8">
        <f>E5*H5</f>
        <v>20</v>
      </c>
      <c r="K5" s="9"/>
      <c r="L5" s="4" t="s">
        <v>19</v>
      </c>
      <c r="M5" s="5" t="s">
        <v>20</v>
      </c>
      <c r="N5" t="s">
        <v>21</v>
      </c>
    </row>
    <row r="6" spans="1:14">
      <c r="A6" s="3"/>
      <c r="B6" s="4" t="s">
        <v>15</v>
      </c>
      <c r="C6" s="5" t="s">
        <v>22</v>
      </c>
      <c r="D6" s="4" t="s">
        <v>17</v>
      </c>
      <c r="E6" s="6">
        <v>1</v>
      </c>
      <c r="F6" s="4" t="s">
        <v>18</v>
      </c>
      <c r="G6" s="7">
        <v>3</v>
      </c>
      <c r="H6" s="7">
        <v>6</v>
      </c>
      <c r="I6" s="8">
        <f>E6*G6</f>
        <v>3</v>
      </c>
      <c r="J6" s="8">
        <f>E6*H6</f>
        <v>6</v>
      </c>
      <c r="K6" s="9"/>
      <c r="L6" s="4" t="s">
        <v>19</v>
      </c>
      <c r="M6" s="5" t="s">
        <v>23</v>
      </c>
      <c r="N6" t="s">
        <v>21</v>
      </c>
    </row>
    <row r="7" spans="1:14">
      <c r="A7" s="3"/>
      <c r="B7" s="4" t="s">
        <v>15</v>
      </c>
      <c r="C7" s="5" t="s">
        <v>24</v>
      </c>
      <c r="D7" s="4" t="s">
        <v>17</v>
      </c>
      <c r="E7" s="6">
        <v>14</v>
      </c>
      <c r="F7" s="4" t="s">
        <v>18</v>
      </c>
      <c r="G7" s="7">
        <v>3</v>
      </c>
      <c r="H7" s="7">
        <v>5</v>
      </c>
      <c r="I7" s="8">
        <f>E7*G7</f>
        <v>42</v>
      </c>
      <c r="J7" s="8">
        <f>E7*H7</f>
        <v>70</v>
      </c>
      <c r="K7" s="9"/>
      <c r="L7" s="4" t="s">
        <v>19</v>
      </c>
      <c r="M7" s="5" t="s">
        <v>25</v>
      </c>
      <c r="N7" t="s">
        <v>21</v>
      </c>
    </row>
    <row r="8" spans="1:14">
      <c r="A8" s="3"/>
      <c r="B8" s="4" t="s">
        <v>15</v>
      </c>
      <c r="C8" s="5" t="s">
        <v>26</v>
      </c>
      <c r="D8" s="4" t="s">
        <v>17</v>
      </c>
      <c r="E8" s="6">
        <v>1</v>
      </c>
      <c r="F8" s="4" t="s">
        <v>18</v>
      </c>
      <c r="G8" s="7">
        <v>10</v>
      </c>
      <c r="H8" s="7">
        <v>15</v>
      </c>
      <c r="I8" s="8">
        <f>E8*G8</f>
        <v>10</v>
      </c>
      <c r="J8" s="8">
        <f>E8*H8</f>
        <v>15</v>
      </c>
      <c r="K8" s="9"/>
      <c r="L8" s="4" t="s">
        <v>19</v>
      </c>
      <c r="M8" s="5" t="s">
        <v>27</v>
      </c>
      <c r="N8" t="s">
        <v>21</v>
      </c>
    </row>
    <row r="9" spans="1:14">
      <c r="A9" s="3"/>
      <c r="B9" s="4" t="s">
        <v>15</v>
      </c>
      <c r="C9" s="5" t="s">
        <v>28</v>
      </c>
      <c r="D9" s="4" t="s">
        <v>17</v>
      </c>
      <c r="E9" s="6">
        <v>1</v>
      </c>
      <c r="F9" s="4" t="s">
        <v>18</v>
      </c>
      <c r="G9" s="7">
        <v>2</v>
      </c>
      <c r="H9" s="7">
        <v>4</v>
      </c>
      <c r="I9" s="8">
        <f>E9*G9</f>
        <v>2</v>
      </c>
      <c r="J9" s="8">
        <f>E9*H9</f>
        <v>4</v>
      </c>
      <c r="K9" s="9"/>
      <c r="L9" s="4" t="s">
        <v>19</v>
      </c>
      <c r="M9" s="5" t="s">
        <v>29</v>
      </c>
      <c r="N9" t="s">
        <v>21</v>
      </c>
    </row>
    <row r="10" spans="1:14">
      <c r="A10" s="3"/>
      <c r="B10" s="4" t="s">
        <v>15</v>
      </c>
      <c r="C10" s="5" t="s">
        <v>30</v>
      </c>
      <c r="D10" s="4" t="s">
        <v>17</v>
      </c>
      <c r="E10" s="6">
        <v>4</v>
      </c>
      <c r="F10" s="4" t="s">
        <v>18</v>
      </c>
      <c r="G10" s="7">
        <v>4.5</v>
      </c>
      <c r="H10" s="7">
        <v>7.5</v>
      </c>
      <c r="I10" s="8">
        <f>E10*G10</f>
        <v>18</v>
      </c>
      <c r="J10" s="8">
        <f>E10*H10</f>
        <v>30</v>
      </c>
      <c r="K10" s="9"/>
      <c r="L10" s="4" t="s">
        <v>19</v>
      </c>
      <c r="M10" s="5" t="s">
        <v>31</v>
      </c>
      <c r="N10" t="s">
        <v>32</v>
      </c>
    </row>
    <row r="11" spans="1:14">
      <c r="A11" s="3"/>
      <c r="B11" s="4" t="s">
        <v>15</v>
      </c>
      <c r="C11" s="5" t="s">
        <v>33</v>
      </c>
      <c r="D11" s="4" t="s">
        <v>17</v>
      </c>
      <c r="E11" s="6">
        <v>1</v>
      </c>
      <c r="F11" s="4" t="s">
        <v>18</v>
      </c>
      <c r="G11" s="7">
        <v>2</v>
      </c>
      <c r="H11" s="7">
        <v>5</v>
      </c>
      <c r="I11" s="8">
        <f>E11*G11</f>
        <v>2</v>
      </c>
      <c r="J11" s="8">
        <f>E11*H11</f>
        <v>5</v>
      </c>
      <c r="K11" s="9"/>
      <c r="L11" s="4" t="s">
        <v>19</v>
      </c>
      <c r="M11" s="5" t="s">
        <v>34</v>
      </c>
      <c r="N11" t="s">
        <v>32</v>
      </c>
    </row>
    <row r="12" spans="1:14">
      <c r="A12" s="3"/>
      <c r="B12" s="4" t="s">
        <v>15</v>
      </c>
      <c r="C12" s="5" t="s">
        <v>35</v>
      </c>
      <c r="D12" s="4" t="s">
        <v>36</v>
      </c>
      <c r="E12" s="6">
        <v>1</v>
      </c>
      <c r="F12" s="4" t="s">
        <v>18</v>
      </c>
      <c r="G12" s="7">
        <v>3</v>
      </c>
      <c r="H12" s="7">
        <v>5</v>
      </c>
      <c r="I12" s="8">
        <f>E12*G12</f>
        <v>3</v>
      </c>
      <c r="J12" s="8">
        <f>E12*H12</f>
        <v>5</v>
      </c>
      <c r="K12" s="9"/>
      <c r="L12" s="4" t="s">
        <v>37</v>
      </c>
      <c r="M12" s="5" t="s">
        <v>38</v>
      </c>
      <c r="N12" t="s">
        <v>32</v>
      </c>
    </row>
    <row r="13" spans="1:14">
      <c r="A13" s="3"/>
      <c r="B13" s="4" t="s">
        <v>15</v>
      </c>
      <c r="C13" s="5" t="s">
        <v>39</v>
      </c>
      <c r="D13" s="4" t="s">
        <v>17</v>
      </c>
      <c r="E13" s="6">
        <v>1</v>
      </c>
      <c r="F13" s="4" t="s">
        <v>18</v>
      </c>
      <c r="G13" s="7">
        <v>2</v>
      </c>
      <c r="H13" s="7">
        <v>5</v>
      </c>
      <c r="I13" s="8">
        <f>E13*G13</f>
        <v>2</v>
      </c>
      <c r="J13" s="8">
        <f>E13*H13</f>
        <v>5</v>
      </c>
      <c r="K13" s="9"/>
      <c r="L13" s="4" t="s">
        <v>19</v>
      </c>
      <c r="M13" s="5" t="s">
        <v>40</v>
      </c>
      <c r="N13" t="s">
        <v>21</v>
      </c>
    </row>
    <row r="14" spans="1:14">
      <c r="A14" s="3"/>
      <c r="B14" s="4" t="s">
        <v>15</v>
      </c>
      <c r="C14" s="5" t="s">
        <v>41</v>
      </c>
      <c r="D14" s="4" t="s">
        <v>17</v>
      </c>
      <c r="E14" s="6">
        <v>4</v>
      </c>
      <c r="F14" s="4" t="s">
        <v>18</v>
      </c>
      <c r="G14" s="7">
        <v>0.75</v>
      </c>
      <c r="H14" s="7">
        <v>1.25</v>
      </c>
      <c r="I14" s="8">
        <f>E14*G14</f>
        <v>3</v>
      </c>
      <c r="J14" s="8">
        <f>E14*H14</f>
        <v>5</v>
      </c>
      <c r="K14" s="9"/>
      <c r="L14" s="4" t="s">
        <v>19</v>
      </c>
      <c r="M14" s="5" t="s">
        <v>42</v>
      </c>
      <c r="N14" t="s">
        <v>32</v>
      </c>
    </row>
    <row r="15" spans="1:14" ht="28.5">
      <c r="A15" s="3"/>
      <c r="B15" s="4" t="s">
        <v>43</v>
      </c>
      <c r="C15" s="5" t="s">
        <v>44</v>
      </c>
      <c r="D15" s="4" t="s">
        <v>45</v>
      </c>
      <c r="E15" s="6">
        <v>1</v>
      </c>
      <c r="F15" s="4" t="s">
        <v>18</v>
      </c>
      <c r="G15" s="7">
        <v>5</v>
      </c>
      <c r="H15" s="7">
        <v>8</v>
      </c>
      <c r="I15" s="8">
        <f>E15*G15</f>
        <v>5</v>
      </c>
      <c r="J15" s="8">
        <f>E15*H15</f>
        <v>8</v>
      </c>
      <c r="K15" s="9"/>
      <c r="L15" s="4" t="s">
        <v>19</v>
      </c>
      <c r="M15" s="5" t="s">
        <v>46</v>
      </c>
      <c r="N15" t="s">
        <v>21</v>
      </c>
    </row>
    <row r="16" spans="1:14">
      <c r="A16" s="3"/>
      <c r="B16" s="4" t="s">
        <v>43</v>
      </c>
      <c r="C16" s="5" t="s">
        <v>47</v>
      </c>
      <c r="D16" s="4" t="s">
        <v>48</v>
      </c>
      <c r="E16" s="6">
        <v>0</v>
      </c>
      <c r="F16" s="4" t="s">
        <v>18</v>
      </c>
      <c r="G16" s="7">
        <v>15</v>
      </c>
      <c r="H16" s="7">
        <v>30</v>
      </c>
      <c r="I16" s="8">
        <f>E16*G16</f>
        <v>0</v>
      </c>
      <c r="J16" s="8">
        <f>E16*H16</f>
        <v>0</v>
      </c>
      <c r="K16" s="9"/>
      <c r="L16" s="4" t="s">
        <v>19</v>
      </c>
      <c r="M16" s="5" t="s">
        <v>49</v>
      </c>
    </row>
    <row r="17" spans="1:14">
      <c r="A17" s="3"/>
      <c r="B17" s="4" t="s">
        <v>43</v>
      </c>
      <c r="C17" s="5" t="s">
        <v>50</v>
      </c>
      <c r="D17" s="4" t="s">
        <v>45</v>
      </c>
      <c r="E17" s="6">
        <v>1</v>
      </c>
      <c r="F17" s="4" t="s">
        <v>18</v>
      </c>
      <c r="G17" s="7">
        <v>5</v>
      </c>
      <c r="H17" s="7">
        <v>10</v>
      </c>
      <c r="I17" s="8">
        <f>E17*G17</f>
        <v>5</v>
      </c>
      <c r="J17" s="8">
        <f>E17*H17</f>
        <v>10</v>
      </c>
      <c r="K17" s="9"/>
      <c r="L17" s="4" t="s">
        <v>19</v>
      </c>
      <c r="M17" s="5" t="s">
        <v>51</v>
      </c>
      <c r="N17" t="s">
        <v>21</v>
      </c>
    </row>
    <row r="18" spans="1:14">
      <c r="A18" s="3"/>
      <c r="B18" s="4" t="s">
        <v>43</v>
      </c>
      <c r="C18" s="5" t="s">
        <v>52</v>
      </c>
      <c r="D18" s="4" t="s">
        <v>45</v>
      </c>
      <c r="E18" s="6">
        <v>2</v>
      </c>
      <c r="F18" s="4" t="s">
        <v>18</v>
      </c>
      <c r="G18" s="7">
        <v>1.5</v>
      </c>
      <c r="H18" s="7">
        <v>2.5</v>
      </c>
      <c r="I18" s="8">
        <f>E18*G18</f>
        <v>3</v>
      </c>
      <c r="J18" s="8">
        <f>E18*H18</f>
        <v>5</v>
      </c>
      <c r="K18" s="9"/>
      <c r="L18" s="4" t="s">
        <v>19</v>
      </c>
      <c r="M18" s="5" t="s">
        <v>53</v>
      </c>
      <c r="N18" t="s">
        <v>21</v>
      </c>
    </row>
    <row r="19" spans="1:14">
      <c r="A19" s="3"/>
      <c r="B19" s="4" t="s">
        <v>43</v>
      </c>
      <c r="C19" s="5" t="s">
        <v>54</v>
      </c>
      <c r="D19" s="4" t="s">
        <v>45</v>
      </c>
      <c r="E19" s="6">
        <v>1</v>
      </c>
      <c r="F19" s="4" t="s">
        <v>18</v>
      </c>
      <c r="G19" s="7">
        <v>3</v>
      </c>
      <c r="H19" s="7">
        <v>5</v>
      </c>
      <c r="I19" s="8">
        <f>E19*G19</f>
        <v>3</v>
      </c>
      <c r="J19" s="8">
        <f>E19*H19</f>
        <v>5</v>
      </c>
      <c r="K19" s="9"/>
      <c r="L19" s="4" t="s">
        <v>19</v>
      </c>
      <c r="M19" s="5" t="s">
        <v>55</v>
      </c>
      <c r="N19" t="s">
        <v>21</v>
      </c>
    </row>
    <row r="20" spans="1:14">
      <c r="A20" s="3"/>
      <c r="B20" s="4" t="s">
        <v>43</v>
      </c>
      <c r="C20" s="5" t="s">
        <v>56</v>
      </c>
      <c r="D20" s="4" t="s">
        <v>45</v>
      </c>
      <c r="E20" s="6">
        <v>1</v>
      </c>
      <c r="F20" s="4" t="s">
        <v>18</v>
      </c>
      <c r="G20" s="7">
        <v>4</v>
      </c>
      <c r="H20" s="7">
        <v>8</v>
      </c>
      <c r="I20" s="8">
        <f>E20*G20</f>
        <v>4</v>
      </c>
      <c r="J20" s="8">
        <f>E20*H20</f>
        <v>8</v>
      </c>
      <c r="K20" s="9"/>
      <c r="L20" s="4" t="s">
        <v>19</v>
      </c>
      <c r="M20" s="5" t="s">
        <v>57</v>
      </c>
      <c r="N20" t="s">
        <v>21</v>
      </c>
    </row>
    <row r="21" spans="1:14">
      <c r="A21" s="3"/>
      <c r="B21" s="4" t="s">
        <v>43</v>
      </c>
      <c r="C21" s="5" t="s">
        <v>58</v>
      </c>
      <c r="D21" s="4" t="s">
        <v>45</v>
      </c>
      <c r="E21" s="6">
        <v>1</v>
      </c>
      <c r="F21" s="4" t="s">
        <v>18</v>
      </c>
      <c r="G21" s="7">
        <v>1.5</v>
      </c>
      <c r="H21" s="7">
        <v>2.5</v>
      </c>
      <c r="I21" s="8">
        <f>E21*G21</f>
        <v>1.5</v>
      </c>
      <c r="J21" s="8">
        <f>E21*H21</f>
        <v>2.5</v>
      </c>
      <c r="K21" s="9"/>
      <c r="L21" s="4" t="s">
        <v>19</v>
      </c>
      <c r="M21" s="5" t="s">
        <v>59</v>
      </c>
      <c r="N21" t="s">
        <v>21</v>
      </c>
    </row>
    <row r="22" spans="1:14">
      <c r="A22" s="3"/>
      <c r="B22" s="4" t="s">
        <v>43</v>
      </c>
      <c r="C22" s="5" t="s">
        <v>60</v>
      </c>
      <c r="D22" s="4" t="s">
        <v>45</v>
      </c>
      <c r="E22" s="6">
        <v>0</v>
      </c>
      <c r="F22" s="4" t="s">
        <v>18</v>
      </c>
      <c r="G22" s="7">
        <v>0.5</v>
      </c>
      <c r="H22" s="7">
        <v>1</v>
      </c>
      <c r="I22" s="8">
        <f>E22*G22</f>
        <v>0</v>
      </c>
      <c r="J22" s="8">
        <f>E22*H22</f>
        <v>0</v>
      </c>
      <c r="K22" s="9"/>
      <c r="L22" s="4" t="s">
        <v>19</v>
      </c>
      <c r="M22" s="5" t="s">
        <v>61</v>
      </c>
    </row>
    <row r="23" spans="1:14">
      <c r="A23" s="3"/>
      <c r="B23" s="4" t="s">
        <v>62</v>
      </c>
      <c r="C23" s="5" t="s">
        <v>63</v>
      </c>
      <c r="D23" s="4" t="s">
        <v>17</v>
      </c>
      <c r="E23" s="6">
        <v>84</v>
      </c>
      <c r="F23" s="4" t="s">
        <v>18</v>
      </c>
      <c r="G23" s="7">
        <v>0.05</v>
      </c>
      <c r="H23" s="7">
        <v>0.1</v>
      </c>
      <c r="I23" s="8">
        <f>E23*G23</f>
        <v>4.2</v>
      </c>
      <c r="J23" s="8">
        <f>E23*H23</f>
        <v>8.4</v>
      </c>
      <c r="K23" s="9"/>
      <c r="L23" s="4" t="s">
        <v>19</v>
      </c>
      <c r="M23" s="5"/>
      <c r="N23" t="s">
        <v>21</v>
      </c>
    </row>
    <row r="24" spans="1:14">
      <c r="A24" s="3"/>
      <c r="B24" s="4" t="s">
        <v>62</v>
      </c>
      <c r="C24" s="5" t="s">
        <v>64</v>
      </c>
      <c r="D24" s="4" t="s">
        <v>17</v>
      </c>
      <c r="E24" s="6">
        <v>92</v>
      </c>
      <c r="F24" s="4" t="s">
        <v>18</v>
      </c>
      <c r="G24" s="7">
        <v>0.05</v>
      </c>
      <c r="H24" s="7">
        <v>0.1</v>
      </c>
      <c r="I24" s="8">
        <f>E24*G24</f>
        <v>4.6000000000000005</v>
      </c>
      <c r="J24" s="8">
        <f>E24*H24</f>
        <v>9.2000000000000011</v>
      </c>
      <c r="K24" s="9"/>
      <c r="L24" s="4" t="s">
        <v>19</v>
      </c>
      <c r="M24" s="5"/>
      <c r="N24" t="s">
        <v>21</v>
      </c>
    </row>
    <row r="25" spans="1:14">
      <c r="A25" s="3"/>
      <c r="B25" s="4" t="s">
        <v>62</v>
      </c>
      <c r="C25" s="5" t="s">
        <v>65</v>
      </c>
      <c r="D25" s="4" t="s">
        <v>17</v>
      </c>
      <c r="E25" s="6">
        <v>64</v>
      </c>
      <c r="F25" s="4" t="s">
        <v>18</v>
      </c>
      <c r="G25" s="7">
        <v>7.0000000000000007E-2</v>
      </c>
      <c r="H25" s="7">
        <v>0.12</v>
      </c>
      <c r="I25" s="8">
        <f>E25*G25</f>
        <v>4.4800000000000004</v>
      </c>
      <c r="J25" s="8">
        <f>E25*H25</f>
        <v>7.68</v>
      </c>
      <c r="K25" s="9"/>
      <c r="L25" s="4" t="s">
        <v>19</v>
      </c>
      <c r="M25" s="5"/>
      <c r="N25" t="s">
        <v>21</v>
      </c>
    </row>
    <row r="26" spans="1:14">
      <c r="A26" s="3"/>
      <c r="B26" s="4" t="s">
        <v>62</v>
      </c>
      <c r="C26" s="5" t="s">
        <v>66</v>
      </c>
      <c r="D26" s="4" t="s">
        <v>17</v>
      </c>
      <c r="E26" s="6">
        <v>12</v>
      </c>
      <c r="F26" s="4" t="s">
        <v>18</v>
      </c>
      <c r="G26" s="7">
        <v>0.3</v>
      </c>
      <c r="H26" s="7">
        <v>0.4</v>
      </c>
      <c r="I26" s="8">
        <f>E26*G26</f>
        <v>3.5999999999999996</v>
      </c>
      <c r="J26" s="8">
        <f>E26*H26</f>
        <v>4.8000000000000007</v>
      </c>
      <c r="K26" s="9"/>
      <c r="L26" s="4" t="s">
        <v>19</v>
      </c>
      <c r="M26" s="5"/>
      <c r="N26" t="s">
        <v>21</v>
      </c>
    </row>
    <row r="27" spans="1:14">
      <c r="A27" s="3"/>
      <c r="B27" s="4" t="s">
        <v>62</v>
      </c>
      <c r="C27" s="5" t="s">
        <v>67</v>
      </c>
      <c r="D27" s="4" t="s">
        <v>36</v>
      </c>
      <c r="E27" s="6">
        <v>12</v>
      </c>
      <c r="F27" s="4" t="s">
        <v>18</v>
      </c>
      <c r="G27" s="7">
        <v>0.4</v>
      </c>
      <c r="H27" s="7">
        <v>0.8</v>
      </c>
      <c r="I27" s="8">
        <f>E27*G27</f>
        <v>4.8000000000000007</v>
      </c>
      <c r="J27" s="8">
        <f>E27*H27</f>
        <v>9.6000000000000014</v>
      </c>
      <c r="K27" s="9"/>
      <c r="L27" s="4" t="s">
        <v>37</v>
      </c>
      <c r="M27" s="5" t="s">
        <v>68</v>
      </c>
      <c r="N27" t="s">
        <v>32</v>
      </c>
    </row>
    <row r="28" spans="1:14">
      <c r="A28" s="3"/>
      <c r="B28" s="4" t="s">
        <v>62</v>
      </c>
      <c r="C28" s="5" t="s">
        <v>69</v>
      </c>
      <c r="D28" s="4" t="s">
        <v>17</v>
      </c>
      <c r="E28" s="6">
        <v>1.5</v>
      </c>
      <c r="F28" s="4" t="s">
        <v>70</v>
      </c>
      <c r="G28" s="7">
        <v>13</v>
      </c>
      <c r="H28" s="7">
        <v>23</v>
      </c>
      <c r="I28" s="8">
        <f>E28*G28</f>
        <v>19.5</v>
      </c>
      <c r="J28" s="8">
        <f>E28*H28</f>
        <v>34.5</v>
      </c>
      <c r="K28" s="9"/>
      <c r="L28" s="4" t="s">
        <v>19</v>
      </c>
      <c r="M28" s="5" t="s">
        <v>71</v>
      </c>
      <c r="N28" t="s">
        <v>32</v>
      </c>
    </row>
    <row r="29" spans="1:14">
      <c r="A29" s="3"/>
      <c r="B29" s="4" t="s">
        <v>72</v>
      </c>
      <c r="C29" s="5" t="s">
        <v>73</v>
      </c>
      <c r="D29" s="4" t="s">
        <v>36</v>
      </c>
      <c r="E29" s="6">
        <v>1</v>
      </c>
      <c r="F29" s="4" t="s">
        <v>18</v>
      </c>
      <c r="G29" s="7">
        <v>10</v>
      </c>
      <c r="H29" s="7">
        <v>20</v>
      </c>
      <c r="I29" s="8">
        <f>E29*G29</f>
        <v>10</v>
      </c>
      <c r="J29" s="8">
        <f>E29*H29</f>
        <v>20</v>
      </c>
      <c r="K29" s="9"/>
      <c r="L29" s="4" t="s">
        <v>37</v>
      </c>
      <c r="M29" s="5" t="s">
        <v>74</v>
      </c>
      <c r="N29" t="s">
        <v>32</v>
      </c>
    </row>
    <row r="30" spans="1:14">
      <c r="A30" s="3"/>
      <c r="B30" s="4" t="s">
        <v>72</v>
      </c>
      <c r="C30" s="5" t="s">
        <v>75</v>
      </c>
      <c r="D30" s="4" t="s">
        <v>36</v>
      </c>
      <c r="E30" s="6">
        <v>1</v>
      </c>
      <c r="F30" s="4" t="s">
        <v>76</v>
      </c>
      <c r="G30" s="7">
        <v>5</v>
      </c>
      <c r="H30" s="7">
        <v>10</v>
      </c>
      <c r="I30" s="8">
        <f>E30*G30</f>
        <v>5</v>
      </c>
      <c r="J30" s="8">
        <f>E30*H30</f>
        <v>10</v>
      </c>
      <c r="K30" s="9"/>
      <c r="L30" s="4" t="s">
        <v>37</v>
      </c>
      <c r="M30" s="5" t="s">
        <v>77</v>
      </c>
      <c r="N30" t="s">
        <v>32</v>
      </c>
    </row>
    <row r="31" spans="1:14">
      <c r="A31" s="3"/>
      <c r="B31" s="4" t="s">
        <v>72</v>
      </c>
      <c r="C31" s="5" t="s">
        <v>78</v>
      </c>
      <c r="D31" s="4" t="s">
        <v>36</v>
      </c>
      <c r="E31" s="6">
        <v>1</v>
      </c>
      <c r="F31" s="4" t="s">
        <v>76</v>
      </c>
      <c r="G31" s="7">
        <v>3</v>
      </c>
      <c r="H31" s="7">
        <v>5</v>
      </c>
      <c r="I31" s="8">
        <f>E31*G31</f>
        <v>3</v>
      </c>
      <c r="J31" s="8">
        <f>E31*H31</f>
        <v>5</v>
      </c>
      <c r="K31" s="9"/>
      <c r="L31" s="4" t="s">
        <v>37</v>
      </c>
      <c r="M31" s="5" t="s">
        <v>79</v>
      </c>
      <c r="N31" t="s">
        <v>32</v>
      </c>
    </row>
    <row r="32" spans="1:14">
      <c r="A32" s="3"/>
      <c r="B32" s="4" t="s">
        <v>72</v>
      </c>
      <c r="C32" s="5" t="s">
        <v>80</v>
      </c>
      <c r="D32" s="4" t="s">
        <v>36</v>
      </c>
      <c r="E32" s="6">
        <v>1</v>
      </c>
      <c r="F32" s="4" t="s">
        <v>76</v>
      </c>
      <c r="G32" s="7">
        <v>3</v>
      </c>
      <c r="H32" s="7">
        <v>5</v>
      </c>
      <c r="I32" s="8">
        <f>E32*G32</f>
        <v>3</v>
      </c>
      <c r="J32" s="8">
        <f>E32*H32</f>
        <v>5</v>
      </c>
      <c r="K32" s="9"/>
      <c r="L32" s="4" t="s">
        <v>37</v>
      </c>
      <c r="M32" s="5" t="s">
        <v>81</v>
      </c>
      <c r="N32" t="s">
        <v>32</v>
      </c>
    </row>
    <row r="34" spans="3:11">
      <c r="C34" s="10" t="s">
        <v>82</v>
      </c>
      <c r="I34" s="11" t="s">
        <v>83</v>
      </c>
      <c r="J34" s="11" t="s">
        <v>84</v>
      </c>
    </row>
    <row r="35" spans="3:11">
      <c r="C35" s="12" t="s">
        <v>17</v>
      </c>
      <c r="I35" s="13">
        <f>SUMIFS($I$5:$I$32,$D$5:$D$32,"Required")</f>
        <v>128.38</v>
      </c>
      <c r="J35" s="13">
        <f>SUMIFS($J$5:$J$32,$D$5:$D$32,"Required")</f>
        <v>224.58</v>
      </c>
      <c r="K35" s="14"/>
    </row>
    <row r="36" spans="3:11">
      <c r="C36" s="12" t="s">
        <v>85</v>
      </c>
      <c r="I36" s="13">
        <f>SUMIFS($I$5:$I$32,$D$5:$D$32,"Recommended")</f>
        <v>28.8</v>
      </c>
      <c r="J36" s="13">
        <f>SUMIFS($J$5:$J$32,$D$5:$D$32,"Recommended")</f>
        <v>54.6</v>
      </c>
      <c r="K36" s="14"/>
    </row>
    <row r="37" spans="3:11">
      <c r="C37" s="12" t="s">
        <v>86</v>
      </c>
      <c r="I37" s="13">
        <f>SUMIFS($I$5:$I$32,$D$5:$D$32,"Optional")</f>
        <v>21.5</v>
      </c>
      <c r="J37" s="13">
        <f>SUMIFS($J$5:$J$32,$D$5:$D$32,"Optional")</f>
        <v>38.5</v>
      </c>
      <c r="K37" s="14"/>
    </row>
    <row r="38" spans="3:11">
      <c r="C38" s="12" t="s">
        <v>87</v>
      </c>
      <c r="I38" s="13">
        <f>SUMIFS($I$5:$I$32,$D$5:$D$32,"Alternative")</f>
        <v>0</v>
      </c>
      <c r="J38" s="13">
        <f>SUMIFS($J$5:$J$32,$D$5:$D$32,"Alternative")</f>
        <v>0</v>
      </c>
      <c r="K38" s="14"/>
    </row>
    <row r="39" spans="3:11">
      <c r="C39" s="11" t="s">
        <v>88</v>
      </c>
      <c r="I39" s="15">
        <f>SUM(I35:I38)</f>
        <v>178.68</v>
      </c>
      <c r="J39" s="15">
        <f>SUM(J35:J38)</f>
        <v>317.68</v>
      </c>
      <c r="K39" s="16"/>
    </row>
    <row r="40" spans="3:11">
      <c r="I40" s="13"/>
      <c r="J40" s="13"/>
      <c r="K40" s="14"/>
    </row>
    <row r="41" spans="3:11">
      <c r="C41" s="11" t="s">
        <v>89</v>
      </c>
      <c r="I41" s="13"/>
      <c r="J41" s="13"/>
      <c r="K41" s="14">
        <f>SUM($K$5:$K$32)</f>
        <v>0</v>
      </c>
    </row>
    <row r="42" spans="3:11">
      <c r="C42" s="12" t="s">
        <v>90</v>
      </c>
      <c r="I42" s="13"/>
      <c r="J42" s="13"/>
      <c r="K42" s="17" t="str">
        <f>COUNTIF($A$5:$A$32,"✓")&amp;" / "&amp;COUNTIF($E$5:$E$32,"&gt;0")</f>
        <v>0 / 26</v>
      </c>
    </row>
  </sheetData>
  <autoFilter ref="A4:M32" xr:uid="{00000000-0009-0000-0000-000000000000}"/>
  <mergeCells count="1">
    <mergeCell ref="A2:M2"/>
  </mergeCells>
  <conditionalFormatting sqref="A5:M32">
    <cfRule type="expression" dxfId="1" priority="1">
      <formula>$A5="✓"</formula>
    </cfRule>
    <cfRule type="expression" dxfId="0" priority="2">
      <formula>$E5=0</formula>
    </cfRule>
  </conditionalFormatting>
  <dataValidations count="1">
    <dataValidation type="list" allowBlank="1" sqref="A5:A32" xr:uid="{00000000-0002-0000-0000-000000000000}">
      <formula1>"✓"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/>
  <cols>
    <col min="1" max="1" width="12" customWidth="1"/>
    <col min="2" max="2" width="100" customWidth="1"/>
  </cols>
  <sheetData>
    <row r="1" spans="1:2">
      <c r="A1" s="1" t="s">
        <v>14</v>
      </c>
    </row>
    <row r="3" spans="1:2">
      <c r="A3" s="18" t="s">
        <v>91</v>
      </c>
      <c r="B3" s="19" t="s">
        <v>92</v>
      </c>
    </row>
    <row r="4" spans="1:2">
      <c r="A4" s="18" t="s">
        <v>93</v>
      </c>
      <c r="B4" s="19" t="s">
        <v>94</v>
      </c>
    </row>
    <row r="5" spans="1:2">
      <c r="A5" s="18" t="s">
        <v>95</v>
      </c>
      <c r="B5" s="19" t="s">
        <v>96</v>
      </c>
    </row>
    <row r="6" spans="1:2">
      <c r="A6" s="18" t="s">
        <v>97</v>
      </c>
      <c r="B6" s="19" t="s">
        <v>98</v>
      </c>
    </row>
    <row r="7" spans="1:2">
      <c r="A7" s="18" t="s">
        <v>99</v>
      </c>
      <c r="B7" s="19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Masi, John Russell</cp:lastModifiedBy>
  <cp:revision/>
  <dcterms:created xsi:type="dcterms:W3CDTF">2026-09-22T21:53:07Z</dcterms:created>
  <dcterms:modified xsi:type="dcterms:W3CDTF">2026-10-09T00:13:37Z</dcterms:modified>
  <cp:category/>
  <cp:contentStatus/>
</cp:coreProperties>
</file>